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anjan Sau\Documents\"/>
    </mc:Choice>
  </mc:AlternateContent>
  <xr:revisionPtr revIDLastSave="0" documentId="8_{304EB068-5A01-472B-8D92-18841BAA40C6}" xr6:coauthVersionLast="47" xr6:coauthVersionMax="47" xr10:uidLastSave="{00000000-0000-0000-0000-000000000000}"/>
  <bookViews>
    <workbookView xWindow="-108" yWindow="-108" windowWidth="23256" windowHeight="12456" xr2:uid="{82E2C03E-3EE6-47A1-9A6A-028801CE9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3" i="1"/>
  <c r="P4" i="1"/>
  <c r="P5" i="1"/>
  <c r="P6" i="1"/>
  <c r="P7" i="1"/>
  <c r="P8" i="1"/>
  <c r="P9" i="1"/>
  <c r="P10" i="1"/>
  <c r="P3" i="1"/>
  <c r="O4" i="1"/>
  <c r="O5" i="1"/>
  <c r="O6" i="1"/>
  <c r="O7" i="1"/>
  <c r="O8" i="1"/>
  <c r="O9" i="1"/>
  <c r="O10" i="1"/>
  <c r="O3" i="1"/>
  <c r="N4" i="1"/>
  <c r="N5" i="1"/>
  <c r="N6" i="1"/>
  <c r="N7" i="1"/>
  <c r="N8" i="1"/>
  <c r="N9" i="1"/>
  <c r="N10" i="1"/>
  <c r="N3" i="1"/>
  <c r="L4" i="1"/>
  <c r="L5" i="1"/>
  <c r="L6" i="1"/>
  <c r="L7" i="1"/>
  <c r="L8" i="1"/>
  <c r="L9" i="1"/>
  <c r="L10" i="1"/>
  <c r="L3" i="1"/>
  <c r="M4" i="1"/>
  <c r="M5" i="1"/>
  <c r="M6" i="1"/>
  <c r="M7" i="1"/>
  <c r="M8" i="1"/>
  <c r="M9" i="1"/>
  <c r="M10" i="1"/>
  <c r="M3" i="1"/>
  <c r="K4" i="1"/>
  <c r="K5" i="1"/>
  <c r="K6" i="1"/>
  <c r="K7" i="1"/>
  <c r="K8" i="1"/>
  <c r="K9" i="1"/>
  <c r="K10" i="1"/>
  <c r="K3" i="1"/>
  <c r="J4" i="1"/>
  <c r="J5" i="1"/>
  <c r="J6" i="1"/>
  <c r="J7" i="1"/>
  <c r="J8" i="1"/>
  <c r="J9" i="1"/>
  <c r="J10" i="1"/>
  <c r="J3" i="1"/>
</calcChain>
</file>

<file path=xl/sharedStrings.xml><?xml version="1.0" encoding="utf-8"?>
<sst xmlns="http://schemas.openxmlformats.org/spreadsheetml/2006/main" count="26" uniqueCount="26">
  <si>
    <t>STUDENT MARK SHEET</t>
  </si>
  <si>
    <t>NAME</t>
  </si>
  <si>
    <t>SL NO</t>
  </si>
  <si>
    <t>BENGALI</t>
  </si>
  <si>
    <t>ENGLISH</t>
  </si>
  <si>
    <t>HINDI</t>
  </si>
  <si>
    <t>PHYSICS</t>
  </si>
  <si>
    <t>CHEMESTRY</t>
  </si>
  <si>
    <t>MATHEMATICS</t>
  </si>
  <si>
    <t>BIOLOGY</t>
  </si>
  <si>
    <t>TOTAL</t>
  </si>
  <si>
    <t>AVERAGE</t>
  </si>
  <si>
    <t>MAX</t>
  </si>
  <si>
    <t>MIN</t>
  </si>
  <si>
    <t>COUNT NO.</t>
  </si>
  <si>
    <t>GRADE</t>
  </si>
  <si>
    <t>RESULT</t>
  </si>
  <si>
    <t>A</t>
  </si>
  <si>
    <t>B</t>
  </si>
  <si>
    <t>C</t>
  </si>
  <si>
    <t>D</t>
  </si>
  <si>
    <t>E</t>
  </si>
  <si>
    <t>F</t>
  </si>
  <si>
    <t>G</t>
  </si>
  <si>
    <t>H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</si>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</sst>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97F3-92BD-4775-BF0D-D5383379885A}">
  <dimension ref="A1:Q10"/>
  <sheetViews>
    <sheetView tabSelected="1" workbookViewId="0">
      <selection activeCell="Q10" sqref="Q10"/>
    </sheetView>
  </sheetViews>
  <sheetFormatPr defaultRowHeight="14.4" x14ac:dyDescent="0.3"/>
  <cols>
    <col min="1" max="1" width="9.33203125" customWidth="1"/>
    <col min="3" max="3" width="10.88671875" customWidth="1"/>
    <col min="5" max="5" width="12.77734375" customWidth="1"/>
    <col min="6" max="6" width="14.44140625" customWidth="1"/>
    <col min="7" max="7" width="15" customWidth="1"/>
    <col min="8" max="8" width="18.5546875" customWidth="1"/>
    <col min="9" max="9" width="17.6640625" customWidth="1"/>
    <col min="11" max="11" width="12.6640625" customWidth="1"/>
    <col min="14" max="14" width="16.33203125" customWidth="1"/>
    <col min="16" max="16" width="15.88671875" customWidth="1"/>
  </cols>
  <sheetData>
    <row r="1" spans="1:17" ht="29.4" customHeight="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8" x14ac:dyDescent="0.35">
      <c r="A2" s="2" t="s">
        <v>2</v>
      </c>
      <c r="B2" s="2" t="s">
        <v>1</v>
      </c>
      <c r="C2" s="2" t="s">
        <v>3</v>
      </c>
      <c r="D2" s="2" t="s">
        <v>5</v>
      </c>
      <c r="E2" s="2" t="s">
        <v>4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16</v>
      </c>
      <c r="P2" s="2" t="s">
        <v>25</v>
      </c>
      <c r="Q2" s="2" t="s">
        <v>15</v>
      </c>
    </row>
    <row r="3" spans="1:17" x14ac:dyDescent="0.3">
      <c r="A3">
        <v>1</v>
      </c>
      <c r="B3" t="s">
        <v>17</v>
      </c>
      <c r="C3">
        <v>23</v>
      </c>
      <c r="D3">
        <v>96</v>
      </c>
      <c r="E3">
        <v>45</v>
      </c>
      <c r="F3">
        <v>96</v>
      </c>
      <c r="G3">
        <v>86</v>
      </c>
      <c r="H3">
        <v>65</v>
      </c>
      <c r="I3">
        <v>25</v>
      </c>
      <c r="J3">
        <f>SUM(C3:I3)</f>
        <v>436</v>
      </c>
      <c r="K3">
        <f>AVERAGE(C3:I3)</f>
        <v>62.285714285714285</v>
      </c>
      <c r="L3">
        <f>MAX(C3:I3)</f>
        <v>96</v>
      </c>
      <c r="M3">
        <f>MIN(C3:I3)</f>
        <v>23</v>
      </c>
      <c r="N3">
        <f>COUNT(C3:I3)</f>
        <v>7</v>
      </c>
      <c r="O3" t="str">
        <f>IF(M3&lt;33,"FAIL","PASS")</f>
        <v>FAIL</v>
      </c>
      <c r="P3">
        <f>J3/700*100</f>
        <v>62.285714285714292</v>
      </c>
      <c r="Q3" t="str">
        <f>IF(100&lt;P3&gt;90,"A+",IF(90&lt;P3&gt;80,"A",IF(80&lt;P3&gt;70,"B+",IF(70&lt;P3&gt;60,"B",IF(60&lt;P3&gt;50,"C","D")))))</f>
        <v>A+</v>
      </c>
    </row>
    <row r="4" spans="1:17" x14ac:dyDescent="0.3">
      <c r="A4">
        <v>2</v>
      </c>
      <c r="B4" t="s">
        <v>18</v>
      </c>
      <c r="C4">
        <v>56</v>
      </c>
      <c r="D4">
        <v>86</v>
      </c>
      <c r="E4">
        <v>23</v>
      </c>
      <c r="F4">
        <v>97</v>
      </c>
      <c r="G4">
        <v>56</v>
      </c>
      <c r="H4">
        <v>69</v>
      </c>
      <c r="I4">
        <v>25</v>
      </c>
      <c r="J4">
        <f t="shared" ref="J4:J10" si="0">SUM(C4:I4)</f>
        <v>412</v>
      </c>
      <c r="K4">
        <f t="shared" ref="K4:K10" si="1">AVERAGE(C4:I4)</f>
        <v>58.857142857142854</v>
      </c>
      <c r="L4">
        <f t="shared" ref="L4:L10" si="2">MAX(C4:I4)</f>
        <v>97</v>
      </c>
      <c r="M4">
        <f t="shared" ref="M4:M10" si="3">MIN(C4:I4)</f>
        <v>23</v>
      </c>
      <c r="N4">
        <f t="shared" ref="N4:N10" si="4">COUNT(C4:I4)</f>
        <v>7</v>
      </c>
      <c r="O4" t="str">
        <f t="shared" ref="O4:O10" si="5">IF(M4&lt;33,"FAIL","PASS")</f>
        <v>FAIL</v>
      </c>
      <c r="P4">
        <f t="shared" ref="P4:P10" si="6">J4/700*100</f>
        <v>58.857142857142854</v>
      </c>
      <c r="Q4" t="str">
        <f t="shared" ref="Q4:Q10" si="7">IF(100&lt;P4&gt;90,"A+",IF(90&lt;P4&gt;80,"A",IF(80&lt;P4&gt;70,"B+",IF(70&lt;P4&gt;60,"B",IF(60&lt;P4&gt;50,"C","D")))))</f>
        <v>A+</v>
      </c>
    </row>
    <row r="5" spans="1:17" x14ac:dyDescent="0.3">
      <c r="A5">
        <v>3</v>
      </c>
      <c r="B5" t="s">
        <v>19</v>
      </c>
      <c r="C5">
        <v>36</v>
      </c>
      <c r="D5">
        <v>45</v>
      </c>
      <c r="E5">
        <v>61</v>
      </c>
      <c r="F5">
        <v>65</v>
      </c>
      <c r="G5">
        <v>89</v>
      </c>
      <c r="H5">
        <v>68</v>
      </c>
      <c r="I5">
        <v>26</v>
      </c>
      <c r="J5">
        <f t="shared" si="0"/>
        <v>390</v>
      </c>
      <c r="K5">
        <f t="shared" si="1"/>
        <v>55.714285714285715</v>
      </c>
      <c r="L5">
        <f t="shared" si="2"/>
        <v>89</v>
      </c>
      <c r="M5">
        <f t="shared" si="3"/>
        <v>26</v>
      </c>
      <c r="N5">
        <f t="shared" si="4"/>
        <v>7</v>
      </c>
      <c r="O5" t="str">
        <f t="shared" si="5"/>
        <v>FAIL</v>
      </c>
      <c r="P5">
        <f t="shared" si="6"/>
        <v>55.714285714285715</v>
      </c>
      <c r="Q5" t="str">
        <f t="shared" si="7"/>
        <v>A+</v>
      </c>
    </row>
    <row r="6" spans="1:17" x14ac:dyDescent="0.3">
      <c r="A6">
        <v>4</v>
      </c>
      <c r="B6" t="s">
        <v>20</v>
      </c>
      <c r="C6">
        <v>89</v>
      </c>
      <c r="D6">
        <v>23</v>
      </c>
      <c r="E6">
        <v>32</v>
      </c>
      <c r="F6">
        <v>93</v>
      </c>
      <c r="G6">
        <v>23</v>
      </c>
      <c r="H6">
        <v>67</v>
      </c>
      <c r="I6">
        <v>28</v>
      </c>
      <c r="J6">
        <f t="shared" si="0"/>
        <v>355</v>
      </c>
      <c r="K6">
        <f t="shared" si="1"/>
        <v>50.714285714285715</v>
      </c>
      <c r="L6">
        <f t="shared" si="2"/>
        <v>93</v>
      </c>
      <c r="M6">
        <f t="shared" si="3"/>
        <v>23</v>
      </c>
      <c r="N6">
        <f t="shared" si="4"/>
        <v>7</v>
      </c>
      <c r="O6" t="str">
        <f t="shared" si="5"/>
        <v>FAIL</v>
      </c>
      <c r="P6">
        <f t="shared" si="6"/>
        <v>50.714285714285708</v>
      </c>
      <c r="Q6" t="str">
        <f t="shared" si="7"/>
        <v>A+</v>
      </c>
    </row>
    <row r="7" spans="1:17" x14ac:dyDescent="0.3">
      <c r="A7">
        <v>5</v>
      </c>
      <c r="B7" t="s">
        <v>21</v>
      </c>
      <c r="C7">
        <v>94</v>
      </c>
      <c r="D7">
        <v>31</v>
      </c>
      <c r="E7">
        <v>89</v>
      </c>
      <c r="F7">
        <v>89</v>
      </c>
      <c r="G7">
        <v>56</v>
      </c>
      <c r="H7">
        <v>64</v>
      </c>
      <c r="I7">
        <v>96</v>
      </c>
      <c r="J7">
        <f t="shared" si="0"/>
        <v>519</v>
      </c>
      <c r="K7">
        <f t="shared" si="1"/>
        <v>74.142857142857139</v>
      </c>
      <c r="L7">
        <f t="shared" si="2"/>
        <v>96</v>
      </c>
      <c r="M7">
        <f t="shared" si="3"/>
        <v>31</v>
      </c>
      <c r="N7">
        <f t="shared" si="4"/>
        <v>7</v>
      </c>
      <c r="O7" t="str">
        <f t="shared" si="5"/>
        <v>FAIL</v>
      </c>
      <c r="P7">
        <f t="shared" si="6"/>
        <v>74.142857142857139</v>
      </c>
      <c r="Q7" t="str">
        <f t="shared" si="7"/>
        <v>A+</v>
      </c>
    </row>
    <row r="8" spans="1:17" x14ac:dyDescent="0.3">
      <c r="A8">
        <v>6</v>
      </c>
      <c r="B8" t="s">
        <v>22</v>
      </c>
      <c r="C8">
        <v>65</v>
      </c>
      <c r="D8">
        <v>57</v>
      </c>
      <c r="E8">
        <v>97</v>
      </c>
      <c r="F8">
        <v>26</v>
      </c>
      <c r="G8">
        <v>23</v>
      </c>
      <c r="H8">
        <v>63</v>
      </c>
      <c r="I8">
        <v>96</v>
      </c>
      <c r="J8">
        <f t="shared" si="0"/>
        <v>427</v>
      </c>
      <c r="K8">
        <f t="shared" si="1"/>
        <v>61</v>
      </c>
      <c r="L8">
        <f t="shared" si="2"/>
        <v>97</v>
      </c>
      <c r="M8">
        <f t="shared" si="3"/>
        <v>23</v>
      </c>
      <c r="N8">
        <f t="shared" si="4"/>
        <v>7</v>
      </c>
      <c r="O8" t="str">
        <f t="shared" si="5"/>
        <v>FAIL</v>
      </c>
      <c r="P8">
        <f t="shared" si="6"/>
        <v>61</v>
      </c>
      <c r="Q8" t="str">
        <f t="shared" si="7"/>
        <v>A+</v>
      </c>
    </row>
    <row r="9" spans="1:17" x14ac:dyDescent="0.3">
      <c r="A9">
        <v>7</v>
      </c>
      <c r="B9" t="s">
        <v>23</v>
      </c>
      <c r="C9">
        <v>35</v>
      </c>
      <c r="D9">
        <v>96</v>
      </c>
      <c r="E9">
        <v>65</v>
      </c>
      <c r="F9">
        <v>46</v>
      </c>
      <c r="G9">
        <v>96</v>
      </c>
      <c r="H9">
        <v>62</v>
      </c>
      <c r="I9">
        <v>95</v>
      </c>
      <c r="J9">
        <f t="shared" si="0"/>
        <v>495</v>
      </c>
      <c r="K9">
        <f t="shared" si="1"/>
        <v>70.714285714285708</v>
      </c>
      <c r="L9">
        <f t="shared" si="2"/>
        <v>96</v>
      </c>
      <c r="M9">
        <f t="shared" si="3"/>
        <v>35</v>
      </c>
      <c r="N9">
        <f t="shared" si="4"/>
        <v>7</v>
      </c>
      <c r="O9" t="str">
        <f t="shared" si="5"/>
        <v>PASS</v>
      </c>
      <c r="P9">
        <f t="shared" si="6"/>
        <v>70.714285714285722</v>
      </c>
      <c r="Q9" t="str">
        <f t="shared" si="7"/>
        <v>A+</v>
      </c>
    </row>
    <row r="10" spans="1:17" x14ac:dyDescent="0.3">
      <c r="A10">
        <v>8</v>
      </c>
      <c r="B10" t="s">
        <v>24</v>
      </c>
      <c r="C10">
        <v>86</v>
      </c>
      <c r="D10">
        <v>13</v>
      </c>
      <c r="E10">
        <v>12</v>
      </c>
      <c r="F10">
        <v>96</v>
      </c>
      <c r="G10">
        <v>56</v>
      </c>
      <c r="H10">
        <v>61</v>
      </c>
      <c r="I10">
        <v>12</v>
      </c>
      <c r="J10">
        <f t="shared" si="0"/>
        <v>336</v>
      </c>
      <c r="K10">
        <f t="shared" si="1"/>
        <v>48</v>
      </c>
      <c r="L10">
        <f t="shared" si="2"/>
        <v>96</v>
      </c>
      <c r="M10">
        <f t="shared" si="3"/>
        <v>12</v>
      </c>
      <c r="N10">
        <f t="shared" si="4"/>
        <v>7</v>
      </c>
      <c r="O10" t="str">
        <f t="shared" si="5"/>
        <v>FAIL</v>
      </c>
      <c r="P10">
        <f t="shared" si="6"/>
        <v>48</v>
      </c>
      <c r="Q10" t="str">
        <f t="shared" si="7"/>
        <v>A+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Nilanjan Sau</dc:creator>
  <cp:lastModifiedBy>Nilanjan Sau</cp:lastModifiedBy>
  <dcterms:created xsi:type="dcterms:W3CDTF">2023-09-04T13:43:23Z</dcterms:created>
  <dcterms:modified xsi:type="dcterms:W3CDTF">2023-09-04T15:00:57Z</dcterms:modified>
</cp:coreProperties>
</file>